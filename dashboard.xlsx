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unibradfordac-my.sharepoint.com/personal/shamdani_bradford_ac_uk/Documents/bike sales/"/>
    </mc:Choice>
  </mc:AlternateContent>
  <xr:revisionPtr revIDLastSave="344" documentId="8_{ABC04089-7769-4E43-9915-B025B1F01043}" xr6:coauthVersionLast="47" xr6:coauthVersionMax="47" xr10:uidLastSave="{6929043D-A3E1-4522-B360-264736C9FE11}"/>
  <bookViews>
    <workbookView xWindow="-120" yWindow="-120" windowWidth="29040" windowHeight="15840" firstSheet="3" activeTab="3" xr2:uid="{00000000-000D-0000-FFFF-FFFF00000000}"/>
  </bookViews>
  <sheets>
    <sheet name="bike_buyers" sheetId="1" state="hidden" r:id="rId1"/>
    <sheet name="Working Sheet" sheetId="5" state="hidden" r:id="rId2"/>
    <sheet name="Pivot Table" sheetId="4" state="hidden" r:id="rId3"/>
    <sheet name="Dashboard" sheetId="3" r:id="rId4"/>
  </sheets>
  <definedNames>
    <definedName name="_xlnm._FilterDatabase" localSheetId="0" hidden="1">bike_buyers!$A$1:$M$1001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5" l="1"/>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<sst xmlns="http://schemas.openxmlformats.org/spreadsheetml/2006/main" count="16267" uniqueCount="51">
  <si>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</si>
  <si>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</si>
  <si>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</si>
  <si>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</si>
  <si>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</si>
  <si>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</si>
  <si>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</si>
  <si>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</si>
  <si>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</si>
  <si>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</si>
  <si>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</si>
  <si>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</si>
  <si>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</si>
  <si>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</si>
  <si>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</si>
  <si>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</si>
  <si>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</si>
  <si>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</si>
  <si>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</si>
  <si>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</si>
  <si>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</si>
  <si>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</si>
  <si>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</si>
  <si>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</si>
  <si>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</si>
  <si>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</si>
  <si>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</si>
  <si>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</si>
  <si>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</si>
  <si>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</si>
  <si>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</si>
  <si>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</si>
  <si>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</si>
  <si>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</si>
  <si>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</si>
  <si>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</si>
  <si>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</si>
  <si>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</si>
  <si>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</si>
  <si>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</si>
  <si>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</si>
  <si>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Average of Income</t>
  </si>
  <si>
    <t>Row Labels</t>
  </si>
  <si>
    <t>Grand Total</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</si>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</sst>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409]* #,##0_ ;_-[$$-409]* \-#,##0\ ;_-[$$-409]* &quot;-&quot;??_ ;_-@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8"/>
      <color theme="0"/>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7030A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20" fillId="33" borderId="0" xfId="0" applyFont="1"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_-[$$-409]* #,##0_ ;_-[$$-409]* \-#,##0\ ;_-[$$-409]* "-"??_ ;_-@_ </c:formatCode>
                <c:ptCount val="2"/>
                <c:pt idx="0">
                  <c:v>53440</c:v>
                </c:pt>
                <c:pt idx="1">
                  <c:v>56208.178438661707</c:v>
                </c:pt>
              </c:numCache>
            </c:numRef>
          </c:val>
          <c:extLst>
            <c:ext xmlns:c16="http://schemas.microsoft.com/office/drawing/2014/chart" uri="{C3380CC4-5D6E-409C-BE32-E72D297353CC}">
              <c16:uniqueId val="{00000000-28A0-49AF-B7F3-E3868BEC9067}"/>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_-[$$-409]* #,##0_ ;_-[$$-409]* \-#,##0\ ;_-[$$-409]* "-"??_ ;_-@_ </c:formatCode>
                <c:ptCount val="2"/>
                <c:pt idx="0">
                  <c:v>55774.058577405856</c:v>
                </c:pt>
                <c:pt idx="1">
                  <c:v>60123.966942148763</c:v>
                </c:pt>
              </c:numCache>
            </c:numRef>
          </c:val>
          <c:extLst>
            <c:ext xmlns:c16="http://schemas.microsoft.com/office/drawing/2014/chart" uri="{C3380CC4-5D6E-409C-BE32-E72D297353CC}">
              <c16:uniqueId val="{00000001-28A0-49AF-B7F3-E3868BEC9067}"/>
            </c:ext>
          </c:extLst>
        </c:ser>
        <c:dLbls>
          <c:showLegendKey val="0"/>
          <c:showVal val="0"/>
          <c:showCatName val="0"/>
          <c:showSerName val="0"/>
          <c:showPercent val="0"/>
          <c:showBubbleSize val="0"/>
        </c:dLbls>
        <c:gapWidth val="219"/>
        <c:overlap val="-27"/>
        <c:axId val="720241311"/>
        <c:axId val="720241791"/>
      </c:barChart>
      <c:catAx>
        <c:axId val="7202413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241791"/>
        <c:crosses val="autoZero"/>
        <c:auto val="1"/>
        <c:lblAlgn val="ctr"/>
        <c:lblOffset val="100"/>
        <c:noMultiLvlLbl val="0"/>
      </c:catAx>
      <c:valAx>
        <c:axId val="7202417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0"/>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24131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Table'!$C$24:$C$25</c:f>
              <c:strCache>
                <c:ptCount val="1"/>
                <c:pt idx="0">
                  <c:v>No</c:v>
                </c:pt>
              </c:strCache>
            </c:strRef>
          </c:tx>
          <c:spPr>
            <a:ln w="28575" cap="rnd">
              <a:solidFill>
                <a:schemeClr val="accent1"/>
              </a:solidFill>
              <a:round/>
            </a:ln>
            <a:effectLst/>
          </c:spPr>
          <c:marker>
            <c:symbol val="none"/>
          </c:marker>
          <c:cat>
            <c:strRef>
              <c:f>'Pivot Table'!$B$26:$B$31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4C3-4058-A4F5-865B4ABE1F80}"/>
            </c:ext>
          </c:extLst>
        </c:ser>
        <c:ser>
          <c:idx val="1"/>
          <c:order val="1"/>
          <c:tx>
            <c:strRef>
              <c:f>'Pivot Table'!$D$24:$D$25</c:f>
              <c:strCache>
                <c:ptCount val="1"/>
                <c:pt idx="0">
                  <c:v>Yes</c:v>
                </c:pt>
              </c:strCache>
            </c:strRef>
          </c:tx>
          <c:spPr>
            <a:ln w="28575" cap="rnd">
              <a:solidFill>
                <a:schemeClr val="accent2"/>
              </a:solidFill>
              <a:round/>
            </a:ln>
            <a:effectLst/>
          </c:spPr>
          <c:marker>
            <c:symbol val="none"/>
          </c:marker>
          <c:cat>
            <c:strRef>
              <c:f>'Pivot Table'!$B$26:$B$31</c:f>
              <c:strCache>
                <c:ptCount val="5"/>
                <c:pt idx="0">
                  <c:v>0-1 Miles</c:v>
                </c:pt>
                <c:pt idx="1">
                  <c:v>1-2 Miles</c:v>
                </c:pt>
                <c:pt idx="2">
                  <c:v>2-5 Miles</c:v>
                </c:pt>
                <c:pt idx="3">
                  <c:v>5-10 Miles</c:v>
                </c:pt>
                <c:pt idx="4">
                  <c:v>More than 10 Miles</c:v>
                </c:pt>
              </c:strCache>
            </c:strRef>
          </c:cat>
          <c:val>
            <c:numRef>
              <c:f>'Pivot Table'!$D$26:$D$31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4C3-4058-A4F5-865B4ABE1F80}"/>
            </c:ext>
          </c:extLst>
        </c:ser>
        <c:dLbls>
          <c:showLegendKey val="0"/>
          <c:showVal val="0"/>
          <c:showCatName val="0"/>
          <c:showSerName val="0"/>
          <c:showPercent val="0"/>
          <c:showBubbleSize val="0"/>
        </c:dLbls>
        <c:smooth val="0"/>
        <c:axId val="649940431"/>
        <c:axId val="649940911"/>
      </c:lineChart>
      <c:catAx>
        <c:axId val="6499404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940911"/>
        <c:crosses val="autoZero"/>
        <c:auto val="1"/>
        <c:lblAlgn val="ctr"/>
        <c:lblOffset val="100"/>
        <c:noMultiLvlLbl val="0"/>
      </c:catAx>
      <c:valAx>
        <c:axId val="649940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940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Table'!$B$45:$B$46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Table'!$A$47:$A$50</c:f>
              <c:strCache>
                <c:ptCount val="3"/>
                <c:pt idx="0">
                  <c:v>Adolescent</c:v>
                </c:pt>
                <c:pt idx="1">
                  <c:v>Middle Age</c:v>
                </c:pt>
                <c:pt idx="2">
                  <c:v>Old</c:v>
                </c:pt>
              </c:strCache>
            </c:strRef>
          </c:cat>
          <c:val>
            <c:numRef>
              <c:f>'Pivot Table'!$B$47:$B$50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724D-4F4F-8EF0-728CE4369E28}"/>
            </c:ext>
          </c:extLst>
        </c:ser>
        <c:ser>
          <c:idx val="1"/>
          <c:order val="1"/>
          <c:tx>
            <c:strRef>
              <c:f>'Pivot Table'!$C$45:$C$46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Table'!$A$47:$A$50</c:f>
              <c:strCache>
                <c:ptCount val="3"/>
                <c:pt idx="0">
                  <c:v>Adolescent</c:v>
                </c:pt>
                <c:pt idx="1">
                  <c:v>Middle Age</c:v>
                </c:pt>
                <c:pt idx="2">
                  <c:v>Old</c:v>
                </c:pt>
              </c:strCache>
            </c:strRef>
          </c:cat>
          <c:val>
            <c:numRef>
              <c:f>'Pivot Table'!$C$47:$C$50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724D-4F4F-8EF0-728CE4369E28}"/>
            </c:ext>
          </c:extLst>
        </c:ser>
        <c:dLbls>
          <c:showLegendKey val="0"/>
          <c:showVal val="0"/>
          <c:showCatName val="0"/>
          <c:showSerName val="0"/>
          <c:showPercent val="0"/>
          <c:showBubbleSize val="0"/>
        </c:dLbls>
        <c:marker val="1"/>
        <c:smooth val="0"/>
        <c:axId val="806580367"/>
        <c:axId val="806580847"/>
      </c:lineChart>
      <c:catAx>
        <c:axId val="8065803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r>
                  <a:rPr lang="en-GB" baseline="0"/>
                  <a:t> Bracket</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580847"/>
        <c:crosses val="autoZero"/>
        <c:auto val="1"/>
        <c:lblAlgn val="ctr"/>
        <c:lblOffset val="100"/>
        <c:noMultiLvlLbl val="0"/>
      </c:catAx>
      <c:valAx>
        <c:axId val="806580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580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_-[$$-409]* #,##0_ ;_-[$$-409]* \-#,##0\ ;_-[$$-409]* "-"??_ ;_-@_ </c:formatCode>
                <c:ptCount val="2"/>
                <c:pt idx="0">
                  <c:v>53440</c:v>
                </c:pt>
                <c:pt idx="1">
                  <c:v>56208.178438661707</c:v>
                </c:pt>
              </c:numCache>
            </c:numRef>
          </c:val>
          <c:extLst>
            <c:ext xmlns:c16="http://schemas.microsoft.com/office/drawing/2014/chart" uri="{C3380CC4-5D6E-409C-BE32-E72D297353CC}">
              <c16:uniqueId val="{00000000-B2D8-4DD9-8E26-046C39EDF334}"/>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_-[$$-409]* #,##0_ ;_-[$$-409]* \-#,##0\ ;_-[$$-409]* "-"??_ ;_-@_ </c:formatCode>
                <c:ptCount val="2"/>
                <c:pt idx="0">
                  <c:v>55774.058577405856</c:v>
                </c:pt>
                <c:pt idx="1">
                  <c:v>60123.966942148763</c:v>
                </c:pt>
              </c:numCache>
            </c:numRef>
          </c:val>
          <c:extLst>
            <c:ext xmlns:c16="http://schemas.microsoft.com/office/drawing/2014/chart" uri="{C3380CC4-5D6E-409C-BE32-E72D297353CC}">
              <c16:uniqueId val="{00000001-B2D8-4DD9-8E26-046C39EDF334}"/>
            </c:ext>
          </c:extLst>
        </c:ser>
        <c:dLbls>
          <c:showLegendKey val="0"/>
          <c:showVal val="0"/>
          <c:showCatName val="0"/>
          <c:showSerName val="0"/>
          <c:showPercent val="0"/>
          <c:showBubbleSize val="0"/>
        </c:dLbls>
        <c:gapWidth val="219"/>
        <c:overlap val="-27"/>
        <c:axId val="720241311"/>
        <c:axId val="720241791"/>
      </c:barChart>
      <c:catAx>
        <c:axId val="7202413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241791"/>
        <c:crosses val="autoZero"/>
        <c:auto val="1"/>
        <c:lblAlgn val="ctr"/>
        <c:lblOffset val="100"/>
        <c:noMultiLvlLbl val="0"/>
      </c:catAx>
      <c:valAx>
        <c:axId val="7202417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0"/>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24131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Table'!$C$24:$C$25</c:f>
              <c:strCache>
                <c:ptCount val="1"/>
                <c:pt idx="0">
                  <c:v>No</c:v>
                </c:pt>
              </c:strCache>
            </c:strRef>
          </c:tx>
          <c:spPr>
            <a:ln w="28575" cap="rnd">
              <a:solidFill>
                <a:schemeClr val="accent1"/>
              </a:solidFill>
              <a:round/>
            </a:ln>
            <a:effectLst/>
          </c:spPr>
          <c:marker>
            <c:symbol val="none"/>
          </c:marker>
          <c:cat>
            <c:strRef>
              <c:f>'Pivot Table'!$B$26:$B$31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AC7-4D2B-AFAE-15437D9C614B}"/>
            </c:ext>
          </c:extLst>
        </c:ser>
        <c:ser>
          <c:idx val="1"/>
          <c:order val="1"/>
          <c:tx>
            <c:strRef>
              <c:f>'Pivot Table'!$D$24:$D$25</c:f>
              <c:strCache>
                <c:ptCount val="1"/>
                <c:pt idx="0">
                  <c:v>Yes</c:v>
                </c:pt>
              </c:strCache>
            </c:strRef>
          </c:tx>
          <c:spPr>
            <a:ln w="28575" cap="rnd">
              <a:solidFill>
                <a:schemeClr val="accent2"/>
              </a:solidFill>
              <a:round/>
            </a:ln>
            <a:effectLst/>
          </c:spPr>
          <c:marker>
            <c:symbol val="none"/>
          </c:marker>
          <c:cat>
            <c:strRef>
              <c:f>'Pivot Table'!$B$26:$B$31</c:f>
              <c:strCache>
                <c:ptCount val="5"/>
                <c:pt idx="0">
                  <c:v>0-1 Miles</c:v>
                </c:pt>
                <c:pt idx="1">
                  <c:v>1-2 Miles</c:v>
                </c:pt>
                <c:pt idx="2">
                  <c:v>2-5 Miles</c:v>
                </c:pt>
                <c:pt idx="3">
                  <c:v>5-10 Miles</c:v>
                </c:pt>
                <c:pt idx="4">
                  <c:v>More than 10 Miles</c:v>
                </c:pt>
              </c:strCache>
            </c:strRef>
          </c:cat>
          <c:val>
            <c:numRef>
              <c:f>'Pivot Table'!$D$26:$D$31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AC7-4D2B-AFAE-15437D9C614B}"/>
            </c:ext>
          </c:extLst>
        </c:ser>
        <c:dLbls>
          <c:showLegendKey val="0"/>
          <c:showVal val="0"/>
          <c:showCatName val="0"/>
          <c:showSerName val="0"/>
          <c:showPercent val="0"/>
          <c:showBubbleSize val="0"/>
        </c:dLbls>
        <c:smooth val="0"/>
        <c:axId val="649940431"/>
        <c:axId val="649940911"/>
      </c:lineChart>
      <c:catAx>
        <c:axId val="6499404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940911"/>
        <c:crosses val="autoZero"/>
        <c:auto val="1"/>
        <c:lblAlgn val="ctr"/>
        <c:lblOffset val="100"/>
        <c:noMultiLvlLbl val="0"/>
      </c:catAx>
      <c:valAx>
        <c:axId val="649940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940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Table'!$B$45:$B$46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Table'!$A$47:$A$50</c:f>
              <c:strCache>
                <c:ptCount val="3"/>
                <c:pt idx="0">
                  <c:v>Adolescent</c:v>
                </c:pt>
                <c:pt idx="1">
                  <c:v>Middle Age</c:v>
                </c:pt>
                <c:pt idx="2">
                  <c:v>Old</c:v>
                </c:pt>
              </c:strCache>
            </c:strRef>
          </c:cat>
          <c:val>
            <c:numRef>
              <c:f>'Pivot Table'!$B$47:$B$50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8546-4391-9EA3-EBCF803CC48F}"/>
            </c:ext>
          </c:extLst>
        </c:ser>
        <c:ser>
          <c:idx val="1"/>
          <c:order val="1"/>
          <c:tx>
            <c:strRef>
              <c:f>'Pivot Table'!$C$45:$C$46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Table'!$A$47:$A$50</c:f>
              <c:strCache>
                <c:ptCount val="3"/>
                <c:pt idx="0">
                  <c:v>Adolescent</c:v>
                </c:pt>
                <c:pt idx="1">
                  <c:v>Middle Age</c:v>
                </c:pt>
                <c:pt idx="2">
                  <c:v>Old</c:v>
                </c:pt>
              </c:strCache>
            </c:strRef>
          </c:cat>
          <c:val>
            <c:numRef>
              <c:f>'Pivot Table'!$C$47:$C$50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8546-4391-9EA3-EBCF803CC48F}"/>
            </c:ext>
          </c:extLst>
        </c:ser>
        <c:dLbls>
          <c:showLegendKey val="0"/>
          <c:showVal val="0"/>
          <c:showCatName val="0"/>
          <c:showSerName val="0"/>
          <c:showPercent val="0"/>
          <c:showBubbleSize val="0"/>
        </c:dLbls>
        <c:marker val="1"/>
        <c:smooth val="0"/>
        <c:axId val="806580367"/>
        <c:axId val="806580847"/>
      </c:lineChart>
      <c:catAx>
        <c:axId val="8065803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r>
                  <a:rPr lang="en-GB" baseline="0"/>
                  <a:t> Bracket</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580847"/>
        <c:crosses val="autoZero"/>
        <c:auto val="1"/>
        <c:lblAlgn val="ctr"/>
        <c:lblOffset val="100"/>
        <c:noMultiLvlLbl val="0"/>
      </c:catAx>
      <c:valAx>
        <c:axId val="806580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580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4761</xdr:colOff>
      <xdr:row>3</xdr:row>
      <xdr:rowOff>42861</xdr:rowOff>
    </xdr:from>
    <xdr:to>
      <xdr:col>14</xdr:col>
      <xdr:colOff>409574</xdr:colOff>
      <xdr:row>21</xdr:row>
      <xdr:rowOff>85724</xdr:rowOff>
    </xdr:to>
    <xdr:graphicFrame macro="">
      <xdr:nvGraphicFramePr>
        <xdr:cNvPr id="2" name="Chart 1">
          <a:extLst>
            <a:ext uri="{FF2B5EF4-FFF2-40B4-BE49-F238E27FC236}">
              <a16:creationId xmlns:a16="http://schemas.microsoft.com/office/drawing/2014/main" id="{F7C73F11-BE63-9364-2BDF-61F31D6DBF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261936</xdr:colOff>
      <xdr:row>23</xdr:row>
      <xdr:rowOff>176212</xdr:rowOff>
    </xdr:from>
    <xdr:to>
      <xdr:col>15</xdr:col>
      <xdr:colOff>247649</xdr:colOff>
      <xdr:row>40</xdr:row>
      <xdr:rowOff>38100</xdr:rowOff>
    </xdr:to>
    <xdr:graphicFrame macro="">
      <xdr:nvGraphicFramePr>
        <xdr:cNvPr id="3" name="Chart 2">
          <a:extLst>
            <a:ext uri="{FF2B5EF4-FFF2-40B4-BE49-F238E27FC236}">
              <a16:creationId xmlns:a16="http://schemas.microsoft.com/office/drawing/2014/main" id="{54FE395E-6659-A7DB-5DDF-05A2A0C86B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71436</xdr:colOff>
      <xdr:row>45</xdr:row>
      <xdr:rowOff>138112</xdr:rowOff>
    </xdr:from>
    <xdr:to>
      <xdr:col>14</xdr:col>
      <xdr:colOff>285749</xdr:colOff>
      <xdr:row>61</xdr:row>
      <xdr:rowOff>152400</xdr:rowOff>
    </xdr:to>
    <xdr:graphicFrame macro="">
      <xdr:nvGraphicFramePr>
        <xdr:cNvPr id="4" name="Chart 3">
          <a:extLst>
            <a:ext uri="{FF2B5EF4-FFF2-40B4-BE49-F238E27FC236}">
              <a16:creationId xmlns:a16="http://schemas.microsoft.com/office/drawing/2014/main" id="{F9E6B283-3D47-52AB-BA54-DD7557EF9A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485775</xdr:colOff>
      <xdr:row>7</xdr:row>
      <xdr:rowOff>19051</xdr:rowOff>
    </xdr:from>
    <xdr:to>
      <xdr:col>8</xdr:col>
      <xdr:colOff>285750</xdr:colOff>
      <xdr:row>23</xdr:row>
      <xdr:rowOff>95251</xdr:rowOff>
    </xdr:to>
    <xdr:graphicFrame macro="">
      <xdr:nvGraphicFramePr>
        <xdr:cNvPr id="2" name="Chart 1">
          <a:extLst>
            <a:ext uri="{FF2B5EF4-FFF2-40B4-BE49-F238E27FC236}">
              <a16:creationId xmlns:a16="http://schemas.microsoft.com/office/drawing/2014/main" id="{A522B015-95CC-4551-B468-1A7D0D4BA0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485775</xdr:colOff>
      <xdr:row>25</xdr:row>
      <xdr:rowOff>9524</xdr:rowOff>
    </xdr:from>
    <xdr:to>
      <xdr:col>16</xdr:col>
      <xdr:colOff>66675</xdr:colOff>
      <xdr:row>43</xdr:row>
      <xdr:rowOff>76199</xdr:rowOff>
    </xdr:to>
    <xdr:graphicFrame macro="">
      <xdr:nvGraphicFramePr>
        <xdr:cNvPr id="3" name="Chart 2">
          <a:extLst>
            <a:ext uri="{FF2B5EF4-FFF2-40B4-BE49-F238E27FC236}">
              <a16:creationId xmlns:a16="http://schemas.microsoft.com/office/drawing/2014/main" id="{EF1A293E-C927-4026-91A9-FCE8138883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314325</xdr:colOff>
      <xdr:row>7</xdr:row>
      <xdr:rowOff>19052</xdr:rowOff>
    </xdr:from>
    <xdr:to>
      <xdr:col>16</xdr:col>
      <xdr:colOff>76200</xdr:colOff>
      <xdr:row>23</xdr:row>
      <xdr:rowOff>95252</xdr:rowOff>
    </xdr:to>
    <xdr:graphicFrame macro="">
      <xdr:nvGraphicFramePr>
        <xdr:cNvPr id="4" name="Chart 3">
          <a:extLst>
            <a:ext uri="{FF2B5EF4-FFF2-40B4-BE49-F238E27FC236}">
              <a16:creationId xmlns:a16="http://schemas.microsoft.com/office/drawing/2014/main" id="{7F644299-501B-433A-A672-B4575AF9D7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0</xdr:colOff>
      <xdr:row>4</xdr:row>
      <xdr:rowOff>28575</xdr:rowOff>
    </xdr:from>
    <xdr:to>
      <xdr:col>20</xdr:col>
      <xdr:colOff>0</xdr:colOff>
      <xdr:row>8</xdr:row>
      <xdr:rowOff>0</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F527FF33-940E-C74A-A2E8-9D81B9646C7A}"/>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0363200" y="790575"/>
              <a:ext cx="1828800" cy="1000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15</xdr:row>
      <xdr:rowOff>142875</xdr:rowOff>
    </xdr:from>
    <xdr:to>
      <xdr:col>20</xdr:col>
      <xdr:colOff>0</xdr:colOff>
      <xdr:row>25</xdr:row>
      <xdr:rowOff>0</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122601E2-DE76-1ACE-A964-40ECE11DF6A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0363200" y="3267075"/>
              <a:ext cx="1828800" cy="1762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8</xdr:row>
      <xdr:rowOff>76200</xdr:rowOff>
    </xdr:from>
    <xdr:to>
      <xdr:col>20</xdr:col>
      <xdr:colOff>0</xdr:colOff>
      <xdr:row>15</xdr:row>
      <xdr:rowOff>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65837F4C-084C-D273-51ED-4174253476E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363200" y="1866900"/>
              <a:ext cx="1828800" cy="1257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qdad Hamdani" refreshedDate="46207.631287268516" createdVersion="8" refreshedVersion="8" minRefreshableVersion="3" recordCount="1000" xr:uid="{C6D94E56-9E65-420E-A6A9-F8448FFEB915}">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1095706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0DB1A5-EC71-4A79-BD04-4DE4B0A9BC5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5:D50"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2D0FF9-FE1C-446A-A822-83E4C29424E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24:E31"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F6CAFA-703C-42ED-9B23-9173CE5B36D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FEE76C2-66FD-46B7-97C1-948FA277294C}" sourceName="Marital Status">
  <pivotTables>
    <pivotTable tabId="4" name="PivotTable1"/>
    <pivotTable tabId="4" name="PivotTable2"/>
    <pivotTable tabId="4" name="PivotTable3"/>
  </pivotTables>
  <data>
    <tabular pivotCacheId="210957062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BE0C1F9-2208-43FC-9034-15F316F08A51}" sourceName="Education">
  <pivotTables>
    <pivotTable tabId="4" name="PivotTable3"/>
    <pivotTable tabId="4" name="PivotTable1"/>
    <pivotTable tabId="4" name="PivotTable2"/>
  </pivotTables>
  <data>
    <tabular pivotCacheId="210957062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F924515-4E2A-48E7-80D4-DD78908A8C7D}" sourceName="Region">
  <pivotTables>
    <pivotTable tabId="4" name="PivotTable3"/>
    <pivotTable tabId="4" name="PivotTable1"/>
    <pivotTable tabId="4" name="PivotTable2"/>
  </pivotTables>
  <data>
    <tabular pivotCacheId="210957062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C6513A3-BC13-40C8-93D5-7E3C9EE15AA6}" cache="Slicer_Marital_Status" caption="Marital Status" rowHeight="241300"/>
  <slicer name="Education" xr10:uid="{242A1395-DE8B-4E5C-B7F9-A05FF477F6C3}" cache="Slicer_Education" caption="Education" rowHeight="241300"/>
  <slicer name="Region" xr10:uid="{8D0413E3-CA20-47E2-BE90-181644DD291B}"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F25" sqref="F25"/>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A4040-0CC2-4556-9251-924C4FCD7E41}">
  <dimension ref="A1:N1001"/>
  <sheetViews>
    <sheetView workbookViewId="0">
      <selection activeCell="M6" sqref="M6"/>
    </sheetView>
  </sheetViews>
  <sheetFormatPr defaultColWidth="11.85546875" defaultRowHeight="15" x14ac:dyDescent="0.25"/>
  <cols>
    <col min="1" max="1" width="15.7109375" customWidth="1"/>
    <col min="2" max="2" width="16.5703125" customWidth="1"/>
    <col min="3" max="3" width="15.140625" customWidth="1"/>
    <col min="4" max="4" width="16.85546875" style="3" customWidth="1"/>
    <col min="5" max="5" width="16" customWidth="1"/>
    <col min="6" max="6" width="17.28515625" customWidth="1"/>
    <col min="7" max="7" width="17.42578125" customWidth="1"/>
    <col min="8" max="8" width="15.7109375" customWidth="1"/>
    <col min="9" max="9" width="17.42578125" customWidth="1"/>
    <col min="10" max="10" width="22.140625" customWidth="1"/>
    <col min="11" max="11" width="16" customWidth="1"/>
    <col min="12" max="12" width="13.7109375" customWidth="1"/>
    <col min="13" max="13" width="18.42578125" customWidth="1"/>
    <col min="14" max="14" width="16.28515625"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5">
      <c r="A4">
        <v>14177</v>
      </c>
      <c r="B4" t="s">
        <v>36</v>
      </c>
      <c r="C4" t="s">
        <v>39</v>
      </c>
      <c r="D4" s="3">
        <v>80000</v>
      </c>
      <c r="E4">
        <v>5</v>
      </c>
      <c r="F4" t="s">
        <v>19</v>
      </c>
      <c r="G4" t="s">
        <v>21</v>
      </c>
      <c r="H4" t="s">
        <v>18</v>
      </c>
      <c r="I4">
        <v>2</v>
      </c>
      <c r="J4" t="s">
        <v>22</v>
      </c>
      <c r="K4" t="s">
        <v>17</v>
      </c>
      <c r="L4">
        <v>60</v>
      </c>
      <c r="M4" t="str">
        <f t="shared" si="0"/>
        <v>Old</v>
      </c>
      <c r="N4" t="s">
        <v>18</v>
      </c>
    </row>
    <row r="5" spans="1:14" x14ac:dyDescent="0.25">
      <c r="A5">
        <v>24381</v>
      </c>
      <c r="B5" t="s">
        <v>37</v>
      </c>
      <c r="C5" t="s">
        <v>39</v>
      </c>
      <c r="D5" s="3">
        <v>70000</v>
      </c>
      <c r="E5">
        <v>0</v>
      </c>
      <c r="F5" t="s">
        <v>13</v>
      </c>
      <c r="G5" t="s">
        <v>21</v>
      </c>
      <c r="H5" t="s">
        <v>15</v>
      </c>
      <c r="I5">
        <v>1</v>
      </c>
      <c r="J5" t="s">
        <v>23</v>
      </c>
      <c r="K5" t="s">
        <v>24</v>
      </c>
      <c r="L5">
        <v>41</v>
      </c>
      <c r="M5" t="str">
        <f t="shared" si="0"/>
        <v>Middle Age</v>
      </c>
      <c r="N5" t="s">
        <v>15</v>
      </c>
    </row>
    <row r="6" spans="1:14" x14ac:dyDescent="0.25">
      <c r="A6">
        <v>25597</v>
      </c>
      <c r="B6" t="s">
        <v>37</v>
      </c>
      <c r="C6" t="s">
        <v>39</v>
      </c>
      <c r="D6" s="3">
        <v>30000</v>
      </c>
      <c r="E6">
        <v>0</v>
      </c>
      <c r="F6" t="s">
        <v>13</v>
      </c>
      <c r="G6" t="s">
        <v>20</v>
      </c>
      <c r="H6" t="s">
        <v>18</v>
      </c>
      <c r="I6">
        <v>0</v>
      </c>
      <c r="J6" t="s">
        <v>16</v>
      </c>
      <c r="K6" t="s">
        <v>17</v>
      </c>
      <c r="L6">
        <v>36</v>
      </c>
      <c r="M6" t="str">
        <f t="shared" si="0"/>
        <v>Middle Age</v>
      </c>
      <c r="N6" t="s">
        <v>15</v>
      </c>
    </row>
    <row r="7" spans="1:14" x14ac:dyDescent="0.25">
      <c r="A7">
        <v>13507</v>
      </c>
      <c r="B7" t="s">
        <v>36</v>
      </c>
      <c r="C7" t="s">
        <v>38</v>
      </c>
      <c r="D7" s="3">
        <v>10000</v>
      </c>
      <c r="E7">
        <v>2</v>
      </c>
      <c r="F7" t="s">
        <v>19</v>
      </c>
      <c r="G7" t="s">
        <v>25</v>
      </c>
      <c r="H7" t="s">
        <v>15</v>
      </c>
      <c r="I7">
        <v>0</v>
      </c>
      <c r="J7" t="s">
        <v>26</v>
      </c>
      <c r="K7" t="s">
        <v>17</v>
      </c>
      <c r="L7">
        <v>50</v>
      </c>
      <c r="M7" t="str">
        <f t="shared" si="0"/>
        <v>Middle Age</v>
      </c>
      <c r="N7" t="s">
        <v>18</v>
      </c>
    </row>
    <row r="8" spans="1:14" x14ac:dyDescent="0.25">
      <c r="A8">
        <v>27974</v>
      </c>
      <c r="B8" t="s">
        <v>37</v>
      </c>
      <c r="C8" t="s">
        <v>39</v>
      </c>
      <c r="D8" s="3">
        <v>160000</v>
      </c>
      <c r="E8">
        <v>2</v>
      </c>
      <c r="F8" t="s">
        <v>27</v>
      </c>
      <c r="G8" t="s">
        <v>28</v>
      </c>
      <c r="H8" t="s">
        <v>15</v>
      </c>
      <c r="I8">
        <v>4</v>
      </c>
      <c r="J8" t="s">
        <v>16</v>
      </c>
      <c r="K8" t="s">
        <v>24</v>
      </c>
      <c r="L8">
        <v>33</v>
      </c>
      <c r="M8" t="str">
        <f t="shared" si="0"/>
        <v>Middle Age</v>
      </c>
      <c r="N8" t="s">
        <v>15</v>
      </c>
    </row>
    <row r="9" spans="1:14" x14ac:dyDescent="0.25">
      <c r="A9">
        <v>19364</v>
      </c>
      <c r="B9" t="s">
        <v>36</v>
      </c>
      <c r="C9" t="s">
        <v>39</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38</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5">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5">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5">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5">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BB3F8-98BE-4B31-8AEA-ECA09BCF5D21}">
  <dimension ref="A3:E50"/>
  <sheetViews>
    <sheetView topLeftCell="A22" workbookViewId="0">
      <selection activeCell="N72" sqref="N72"/>
    </sheetView>
  </sheetViews>
  <sheetFormatPr defaultRowHeight="15" x14ac:dyDescent="0.25"/>
  <cols>
    <col min="1" max="1" width="22.85546875" bestFit="1" customWidth="1"/>
    <col min="2" max="2" width="16.28515625" bestFit="1" customWidth="1"/>
    <col min="3" max="3" width="4.140625" bestFit="1" customWidth="1"/>
    <col min="4" max="5" width="11.28515625" bestFit="1" customWidth="1"/>
  </cols>
  <sheetData>
    <row r="3" spans="1:4" x14ac:dyDescent="0.25">
      <c r="A3" s="4" t="s">
        <v>41</v>
      </c>
      <c r="B3" s="4" t="s">
        <v>44</v>
      </c>
    </row>
    <row r="4" spans="1:4" x14ac:dyDescent="0.25">
      <c r="A4" s="4" t="s">
        <v>42</v>
      </c>
      <c r="B4" t="s">
        <v>18</v>
      </c>
      <c r="C4" t="s">
        <v>15</v>
      </c>
      <c r="D4" t="s">
        <v>43</v>
      </c>
    </row>
    <row r="5" spans="1:4" x14ac:dyDescent="0.25">
      <c r="A5" s="5" t="s">
        <v>38</v>
      </c>
      <c r="B5" s="3">
        <v>53440</v>
      </c>
      <c r="C5" s="3">
        <v>55774.058577405856</v>
      </c>
      <c r="D5" s="3">
        <v>54580.777096114522</v>
      </c>
    </row>
    <row r="6" spans="1:4" x14ac:dyDescent="0.25">
      <c r="A6" s="5" t="s">
        <v>39</v>
      </c>
      <c r="B6" s="3">
        <v>56208.178438661707</v>
      </c>
      <c r="C6" s="3">
        <v>60123.966942148763</v>
      </c>
      <c r="D6" s="3">
        <v>58062.62230919765</v>
      </c>
    </row>
    <row r="7" spans="1:4" x14ac:dyDescent="0.25">
      <c r="A7" s="5" t="s">
        <v>43</v>
      </c>
      <c r="B7" s="3">
        <v>54874.759152215796</v>
      </c>
      <c r="C7" s="3">
        <v>57962.577962577961</v>
      </c>
      <c r="D7" s="3">
        <v>56360</v>
      </c>
    </row>
    <row r="24" spans="2:5" x14ac:dyDescent="0.25">
      <c r="B24" s="4" t="s">
        <v>45</v>
      </c>
      <c r="C24" s="4" t="s">
        <v>44</v>
      </c>
    </row>
    <row r="25" spans="2:5" x14ac:dyDescent="0.25">
      <c r="B25" s="4" t="s">
        <v>42</v>
      </c>
      <c r="C25" t="s">
        <v>18</v>
      </c>
      <c r="D25" t="s">
        <v>15</v>
      </c>
      <c r="E25" t="s">
        <v>43</v>
      </c>
    </row>
    <row r="26" spans="2:5" x14ac:dyDescent="0.25">
      <c r="B26" s="5" t="s">
        <v>16</v>
      </c>
      <c r="C26" s="6">
        <v>166</v>
      </c>
      <c r="D26" s="6">
        <v>200</v>
      </c>
      <c r="E26" s="6">
        <v>366</v>
      </c>
    </row>
    <row r="27" spans="2:5" x14ac:dyDescent="0.25">
      <c r="B27" s="5" t="s">
        <v>26</v>
      </c>
      <c r="C27" s="6">
        <v>92</v>
      </c>
      <c r="D27" s="6">
        <v>77</v>
      </c>
      <c r="E27" s="6">
        <v>169</v>
      </c>
    </row>
    <row r="28" spans="2:5" x14ac:dyDescent="0.25">
      <c r="B28" s="5" t="s">
        <v>22</v>
      </c>
      <c r="C28" s="6">
        <v>67</v>
      </c>
      <c r="D28" s="6">
        <v>95</v>
      </c>
      <c r="E28" s="6">
        <v>162</v>
      </c>
    </row>
    <row r="29" spans="2:5" x14ac:dyDescent="0.25">
      <c r="B29" s="5" t="s">
        <v>23</v>
      </c>
      <c r="C29" s="6">
        <v>116</v>
      </c>
      <c r="D29" s="6">
        <v>76</v>
      </c>
      <c r="E29" s="6">
        <v>192</v>
      </c>
    </row>
    <row r="30" spans="2:5" x14ac:dyDescent="0.25">
      <c r="B30" s="5" t="s">
        <v>46</v>
      </c>
      <c r="C30" s="6">
        <v>78</v>
      </c>
      <c r="D30" s="6">
        <v>33</v>
      </c>
      <c r="E30" s="6">
        <v>111</v>
      </c>
    </row>
    <row r="31" spans="2:5" x14ac:dyDescent="0.25">
      <c r="B31" s="5" t="s">
        <v>43</v>
      </c>
      <c r="C31" s="6">
        <v>519</v>
      </c>
      <c r="D31" s="6">
        <v>481</v>
      </c>
      <c r="E31" s="6">
        <v>1000</v>
      </c>
    </row>
    <row r="45" spans="1:4" x14ac:dyDescent="0.25">
      <c r="A45" s="4" t="s">
        <v>45</v>
      </c>
      <c r="B45" s="4" t="s">
        <v>44</v>
      </c>
    </row>
    <row r="46" spans="1:4" x14ac:dyDescent="0.25">
      <c r="A46" s="4" t="s">
        <v>42</v>
      </c>
      <c r="B46" t="s">
        <v>18</v>
      </c>
      <c r="C46" t="s">
        <v>15</v>
      </c>
      <c r="D46" t="s">
        <v>43</v>
      </c>
    </row>
    <row r="47" spans="1:4" x14ac:dyDescent="0.25">
      <c r="A47" s="5" t="s">
        <v>47</v>
      </c>
      <c r="B47" s="6">
        <v>71</v>
      </c>
      <c r="C47" s="6">
        <v>39</v>
      </c>
      <c r="D47" s="6">
        <v>110</v>
      </c>
    </row>
    <row r="48" spans="1:4" x14ac:dyDescent="0.25">
      <c r="A48" s="5" t="s">
        <v>48</v>
      </c>
      <c r="B48" s="6">
        <v>318</v>
      </c>
      <c r="C48" s="6">
        <v>383</v>
      </c>
      <c r="D48" s="6">
        <v>701</v>
      </c>
    </row>
    <row r="49" spans="1:4" x14ac:dyDescent="0.25">
      <c r="A49" s="5" t="s">
        <v>49</v>
      </c>
      <c r="B49" s="6">
        <v>130</v>
      </c>
      <c r="C49" s="6">
        <v>59</v>
      </c>
      <c r="D49" s="6">
        <v>189</v>
      </c>
    </row>
    <row r="50" spans="1:4" x14ac:dyDescent="0.25">
      <c r="A50" s="5" t="s">
        <v>43</v>
      </c>
      <c r="B50" s="6">
        <v>519</v>
      </c>
      <c r="C50" s="6">
        <v>481</v>
      </c>
      <c r="D50"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012BA-BF76-4A23-8A02-5DF24BE3691E}">
  <dimension ref="A1:N7"/>
  <sheetViews>
    <sheetView showGridLines="0" tabSelected="1" topLeftCell="A4" workbookViewId="0">
      <selection activeCell="W26" sqref="W26"/>
    </sheetView>
  </sheetViews>
  <sheetFormatPr defaultRowHeight="15" x14ac:dyDescent="0.25"/>
  <sheetData>
    <row r="1" spans="1:14" x14ac:dyDescent="0.25">
      <c r="A1" s="7" t="s">
        <v>50</v>
      </c>
      <c r="B1" s="8"/>
      <c r="C1" s="8"/>
      <c r="D1" s="8"/>
      <c r="E1" s="8"/>
      <c r="F1" s="8"/>
      <c r="G1" s="8"/>
      <c r="H1" s="8"/>
      <c r="I1" s="8"/>
      <c r="J1" s="8"/>
      <c r="K1" s="8"/>
      <c r="L1" s="8"/>
      <c r="M1" s="8"/>
      <c r="N1" s="8"/>
    </row>
    <row r="2" spans="1:14" x14ac:dyDescent="0.25">
      <c r="A2" s="8"/>
      <c r="B2" s="8"/>
      <c r="C2" s="8"/>
      <c r="D2" s="8"/>
      <c r="E2" s="8"/>
      <c r="F2" s="8"/>
      <c r="G2" s="8"/>
      <c r="H2" s="8"/>
      <c r="I2" s="8"/>
      <c r="J2" s="8"/>
      <c r="K2" s="8"/>
      <c r="L2" s="8"/>
      <c r="M2" s="8"/>
      <c r="N2" s="8"/>
    </row>
    <row r="3" spans="1:14" x14ac:dyDescent="0.25">
      <c r="A3" s="8"/>
      <c r="B3" s="8"/>
      <c r="C3" s="8"/>
      <c r="D3" s="8"/>
      <c r="E3" s="8"/>
      <c r="F3" s="8"/>
      <c r="G3" s="8"/>
      <c r="H3" s="8"/>
      <c r="I3" s="8"/>
      <c r="J3" s="8"/>
      <c r="K3" s="8"/>
      <c r="L3" s="8"/>
      <c r="M3" s="8"/>
      <c r="N3" s="8"/>
    </row>
    <row r="4" spans="1:14" x14ac:dyDescent="0.25">
      <c r="A4" s="8"/>
      <c r="B4" s="8"/>
      <c r="C4" s="8"/>
      <c r="D4" s="8"/>
      <c r="E4" s="8"/>
      <c r="F4" s="8"/>
      <c r="G4" s="8"/>
      <c r="H4" s="8"/>
      <c r="I4" s="8"/>
      <c r="J4" s="8"/>
      <c r="K4" s="8"/>
      <c r="L4" s="8"/>
      <c r="M4" s="8"/>
      <c r="N4" s="8"/>
    </row>
    <row r="5" spans="1:14" x14ac:dyDescent="0.25">
      <c r="A5" s="8"/>
      <c r="B5" s="8"/>
      <c r="C5" s="8"/>
      <c r="D5" s="8"/>
      <c r="E5" s="8"/>
      <c r="F5" s="8"/>
      <c r="G5" s="8"/>
      <c r="H5" s="8"/>
      <c r="I5" s="8"/>
      <c r="J5" s="8"/>
      <c r="K5" s="8"/>
      <c r="L5" s="8"/>
      <c r="M5" s="8"/>
      <c r="N5" s="8"/>
    </row>
    <row r="6" spans="1:14" x14ac:dyDescent="0.25">
      <c r="A6" s="8"/>
      <c r="B6" s="8"/>
      <c r="C6" s="8"/>
      <c r="D6" s="8"/>
      <c r="E6" s="8"/>
      <c r="F6" s="8"/>
      <c r="G6" s="8"/>
      <c r="H6" s="8"/>
      <c r="I6" s="8"/>
      <c r="J6" s="8"/>
      <c r="K6" s="8"/>
      <c r="L6" s="8"/>
      <c r="M6" s="8"/>
      <c r="N6" s="8"/>
    </row>
    <row r="7" spans="1:14" ht="36" customHeight="1" x14ac:dyDescent="0.25">
      <c r="A7" s="8"/>
      <c r="B7" s="8"/>
      <c r="C7" s="8"/>
      <c r="D7" s="8"/>
      <c r="E7" s="8"/>
      <c r="F7" s="8"/>
      <c r="G7" s="8"/>
      <c r="H7" s="8"/>
      <c r="I7" s="8"/>
      <c r="J7" s="8"/>
      <c r="K7" s="8"/>
      <c r="L7" s="8"/>
      <c r="M7" s="8"/>
      <c r="N7" s="8"/>
    </row>
  </sheetData>
  <mergeCells count="1">
    <mergeCell ref="A1:N7"/>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Miqdad Hamdani</cp:lastModifiedBy>
  <dcterms:created xsi:type="dcterms:W3CDTF">2022-03-18T02:50:57Z</dcterms:created>
  <dcterms:modified xsi:type="dcterms:W3CDTF">2026-07-04T14:25:13Z</dcterms:modified>
</cp:coreProperties>
</file>